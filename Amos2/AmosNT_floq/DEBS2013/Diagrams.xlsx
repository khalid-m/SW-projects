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Lars virtual machine" sheetId="4" r:id="rId1"/>
    <sheet name="UDBL Server1" sheetId="5" r:id="rId2"/>
    <sheet name="Tore's Macbook" sheetId="6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C17" i="6" l="1"/>
  <c r="C16" i="6"/>
  <c r="C15" i="6"/>
  <c r="C14" i="6"/>
  <c r="C13" i="6"/>
  <c r="C12" i="6"/>
  <c r="C17" i="5" l="1"/>
  <c r="C16" i="5"/>
  <c r="C15" i="5"/>
  <c r="C14" i="5"/>
  <c r="C13" i="5"/>
  <c r="C12" i="5"/>
  <c r="C12" i="4" l="1"/>
  <c r="C13" i="4"/>
  <c r="C14" i="4"/>
  <c r="C15" i="4"/>
  <c r="C16" i="4"/>
  <c r="C11" i="4"/>
</calcChain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 this column with your experiment results in second.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 this column with your experiment results in second.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Replace this column with your experiment results in second.</t>
        </r>
      </text>
    </comment>
  </commentList>
</comments>
</file>

<file path=xl/sharedStrings.xml><?xml version="1.0" encoding="utf-8"?>
<sst xmlns="http://schemas.openxmlformats.org/spreadsheetml/2006/main" count="38" uniqueCount="22">
  <si>
    <t>Testing in on UDBLServer1</t>
  </si>
  <si>
    <t>ADM Opteron(tm) Processor 6128 2.00 GHz</t>
  </si>
  <si>
    <t>Installed Memory (RAM) 16.0 GB</t>
  </si>
  <si>
    <t>System type : 64 bit Operating system</t>
  </si>
  <si>
    <t>Windows Server 2008 R2 Enterprise Service Pack1</t>
  </si>
  <si>
    <t>Q1 Alone</t>
  </si>
  <si>
    <t>Q2 Alone</t>
  </si>
  <si>
    <t>Q4 Alone</t>
  </si>
  <si>
    <t>Q2 Q4 Together</t>
  </si>
  <si>
    <t>Q3 Alone</t>
  </si>
  <si>
    <t>Whole system</t>
  </si>
  <si>
    <t>Testing on Lars virtual machine</t>
  </si>
  <si>
    <t>Time(s)</t>
  </si>
  <si>
    <t>Time (min)</t>
  </si>
  <si>
    <t>Model: Dell Latitude E6530</t>
  </si>
  <si>
    <t>CPU: Intel Core i7-3720QM @2.60 GHz</t>
  </si>
  <si>
    <t>RAM: 8 GB</t>
  </si>
  <si>
    <t>OS: Windows 7 64-bit</t>
  </si>
  <si>
    <t>VM: VMware</t>
  </si>
  <si>
    <t>V-OS: Windows Server 2008 R2 x64</t>
  </si>
  <si>
    <t>ST500LX003-1AC15G</t>
  </si>
  <si>
    <t>Testing in on Tore's 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</si>
</sst>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Execution times  with Hybird SSD disk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'Lars virtual machine'!$C$10</c:f>
              <c:strCache>
                <c:ptCount val="1"/>
                <c:pt idx="0">
                  <c:v>Time (min)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dPt>
            <c:idx val="1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8"/>
            <c:invertIfNegative val="0"/>
            <c:bubble3D val="0"/>
          </c:dPt>
          <c:cat>
            <c:strRef>
              <c:f>'Lars virtual machine'!$B$11:$B$16</c:f>
              <c:strCache>
                <c:ptCount val="6"/>
                <c:pt idx="0">
                  <c:v>Q1 Alone</c:v>
                </c:pt>
                <c:pt idx="1">
                  <c:v>Q2 Alone</c:v>
                </c:pt>
                <c:pt idx="2">
                  <c:v>Q4 Alone</c:v>
                </c:pt>
                <c:pt idx="3">
                  <c:v>Q2 Q4 Together</c:v>
                </c:pt>
                <c:pt idx="4">
                  <c:v>Q3 Alone</c:v>
                </c:pt>
                <c:pt idx="5">
                  <c:v>Whole system</c:v>
                </c:pt>
              </c:strCache>
            </c:strRef>
          </c:cat>
          <c:val>
            <c:numRef>
              <c:f>'Lars virtual machine'!$C$11:$C$16</c:f>
              <c:numCache>
                <c:formatCode>General</c:formatCode>
                <c:ptCount val="6"/>
                <c:pt idx="0">
                  <c:v>5.4699200000000001</c:v>
                </c:pt>
                <c:pt idx="1">
                  <c:v>5.5747</c:v>
                </c:pt>
                <c:pt idx="2">
                  <c:v>5.4365300000000003</c:v>
                </c:pt>
                <c:pt idx="3">
                  <c:v>5.4365300000000003</c:v>
                </c:pt>
                <c:pt idx="4">
                  <c:v>27.302959999999999</c:v>
                </c:pt>
                <c:pt idx="5">
                  <c:v>27.021850000000001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50492544"/>
        <c:axId val="50494464"/>
      </c:barChart>
      <c:catAx>
        <c:axId val="5049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Queries</a:t>
                </a:r>
              </a:p>
            </c:rich>
          </c:tx>
          <c:overlay val="0"/>
        </c:title>
        <c:majorTickMark val="out"/>
        <c:minorTickMark val="none"/>
        <c:tickLblPos val="nextTo"/>
        <c:crossAx val="50494464"/>
        <c:crosses val="autoZero"/>
        <c:auto val="1"/>
        <c:lblAlgn val="ctr"/>
        <c:lblOffset val="100"/>
        <c:noMultiLvlLbl val="0"/>
      </c:catAx>
      <c:valAx>
        <c:axId val="50494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 times( min)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50492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Execution</a:t>
            </a:r>
            <a:r>
              <a:rPr lang="en-US" baseline="0"/>
              <a:t> times with SCSI disk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'UDBL Server1'!$C$11</c:f>
              <c:strCache>
                <c:ptCount val="1"/>
                <c:pt idx="0">
                  <c:v>Time (min)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dPt>
            <c:idx val="1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8"/>
            <c:invertIfNegative val="0"/>
            <c:bubble3D val="0"/>
          </c:dPt>
          <c:cat>
            <c:strRef>
              <c:f>'UDBL Server1'!$B$12:$B$17</c:f>
              <c:strCache>
                <c:ptCount val="6"/>
                <c:pt idx="0">
                  <c:v>Q1 Alone</c:v>
                </c:pt>
                <c:pt idx="1">
                  <c:v>Q2 Alone</c:v>
                </c:pt>
                <c:pt idx="2">
                  <c:v>Q4 Alone</c:v>
                </c:pt>
                <c:pt idx="3">
                  <c:v>Q2 Q4 Together</c:v>
                </c:pt>
                <c:pt idx="4">
                  <c:v>Q3 Alone</c:v>
                </c:pt>
                <c:pt idx="5">
                  <c:v>Whole system</c:v>
                </c:pt>
              </c:strCache>
            </c:strRef>
          </c:cat>
          <c:val>
            <c:numRef>
              <c:f>'UDBL Server1'!$C$12:$C$17</c:f>
              <c:numCache>
                <c:formatCode>General</c:formatCode>
                <c:ptCount val="6"/>
                <c:pt idx="0">
                  <c:v>24.374870000000001</c:v>
                </c:pt>
                <c:pt idx="1">
                  <c:v>22.3644</c:v>
                </c:pt>
                <c:pt idx="2">
                  <c:v>21.374880000000001</c:v>
                </c:pt>
                <c:pt idx="3">
                  <c:v>23.001639999999998</c:v>
                </c:pt>
                <c:pt idx="4">
                  <c:v>59.173090000000002</c:v>
                </c:pt>
                <c:pt idx="5">
                  <c:v>57.50667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50630016"/>
        <c:axId val="50656768"/>
      </c:barChart>
      <c:catAx>
        <c:axId val="5063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Queries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50656768"/>
        <c:crosses val="autoZero"/>
        <c:auto val="1"/>
        <c:lblAlgn val="ctr"/>
        <c:lblOffset val="100"/>
        <c:noMultiLvlLbl val="0"/>
      </c:catAx>
      <c:valAx>
        <c:axId val="50656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 times( min)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in"/>
        <c:tickLblPos val="nextTo"/>
        <c:crossAx val="50630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Execution</a:t>
            </a:r>
            <a:r>
              <a:rPr lang="en-US" baseline="0"/>
              <a:t> times with SSD disk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'Tore''s Macbook'!$C$11</c:f>
              <c:strCache>
                <c:ptCount val="1"/>
                <c:pt idx="0">
                  <c:v>Time (min)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dPt>
            <c:idx val="1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8"/>
            <c:invertIfNegative val="0"/>
            <c:bubble3D val="0"/>
          </c:dPt>
          <c:cat>
            <c:strRef>
              <c:f>'Tore''s Macbook'!$B$12:$B$17</c:f>
              <c:strCache>
                <c:ptCount val="6"/>
                <c:pt idx="0">
                  <c:v>Q1 Alone</c:v>
                </c:pt>
                <c:pt idx="1">
                  <c:v>Q2 Alone</c:v>
                </c:pt>
                <c:pt idx="2">
                  <c:v>Q4 Alone</c:v>
                </c:pt>
                <c:pt idx="3">
                  <c:v>Q2 Q4 Together</c:v>
                </c:pt>
                <c:pt idx="4">
                  <c:v>Q3 Alone</c:v>
                </c:pt>
                <c:pt idx="5">
                  <c:v>Whole system</c:v>
                </c:pt>
              </c:strCache>
            </c:strRef>
          </c:cat>
          <c:val>
            <c:numRef>
              <c:f>'Tore''s Macbook'!$C$12:$C$17</c:f>
              <c:numCache>
                <c:formatCode>General</c:formatCode>
                <c:ptCount val="6"/>
                <c:pt idx="0">
                  <c:v>5.3407</c:v>
                </c:pt>
                <c:pt idx="1">
                  <c:v>5.1357299999999997</c:v>
                </c:pt>
                <c:pt idx="2">
                  <c:v>5.11327</c:v>
                </c:pt>
                <c:pt idx="3">
                  <c:v>5.2367600000000003</c:v>
                </c:pt>
                <c:pt idx="4">
                  <c:v>34.12162</c:v>
                </c:pt>
                <c:pt idx="5">
                  <c:v>35.237449999999995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50861952"/>
        <c:axId val="50864128"/>
      </c:barChart>
      <c:catAx>
        <c:axId val="50861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Queries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50864128"/>
        <c:crosses val="autoZero"/>
        <c:auto val="1"/>
        <c:lblAlgn val="ctr"/>
        <c:lblOffset val="100"/>
        <c:noMultiLvlLbl val="0"/>
      </c:catAx>
      <c:valAx>
        <c:axId val="50864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Execution times( min)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in"/>
        <c:tickLblPos val="nextTo"/>
        <c:crossAx val="50861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237297</xdr:colOff>
      <xdr:row>11</xdr:row>
      <xdr:rowOff>122168</xdr:rowOff>
    </xdr:from>
    <xdr:to>
      <xdr:col>17</xdr:col>
      <xdr:colOff>540027</xdr:colOff>
      <xdr:row>38</xdr:row>
      <xdr:rowOff>179318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14</xdr:row>
      <xdr:rowOff>28575</xdr:rowOff>
    </xdr:from>
    <xdr:to>
      <xdr:col>15</xdr:col>
      <xdr:colOff>419100</xdr:colOff>
      <xdr:row>41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14</xdr:row>
      <xdr:rowOff>28575</xdr:rowOff>
    </xdr:from>
    <xdr:to>
      <xdr:col>15</xdr:col>
      <xdr:colOff>419100</xdr:colOff>
      <xdr:row>41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16"/>
  <sheetViews>
    <sheetView zoomScaleNormal="100" workbookViewId="0">
      <selection activeCell="M8" sqref="M8"/>
    </sheetView>
  </sheetViews>
  <sheetFormatPr defaultRowHeight="15" x14ac:dyDescent="0.25"/>
  <cols>
    <col min="1" max="1" width="43" customWidth="1"/>
    <col min="2" max="2" width="25.5703125" customWidth="1"/>
    <col min="3" max="3" width="13.7109375" customWidth="1"/>
  </cols>
  <sheetData>
    <row r="4" spans="1:4" x14ac:dyDescent="0.25">
      <c r="A4" t="s">
        <v>11</v>
      </c>
    </row>
    <row r="5" spans="1:4" x14ac:dyDescent="0.25">
      <c r="A5" s="1" t="s">
        <v>14</v>
      </c>
    </row>
    <row r="6" spans="1:4" x14ac:dyDescent="0.25">
      <c r="A6" s="1" t="s">
        <v>15</v>
      </c>
    </row>
    <row r="7" spans="1:4" x14ac:dyDescent="0.25">
      <c r="A7" s="1" t="s">
        <v>16</v>
      </c>
    </row>
    <row r="8" spans="1:4" x14ac:dyDescent="0.25">
      <c r="A8" s="1" t="s">
        <v>17</v>
      </c>
    </row>
    <row r="9" spans="1:4" x14ac:dyDescent="0.25">
      <c r="A9" s="1" t="s">
        <v>18</v>
      </c>
    </row>
    <row r="10" spans="1:4" x14ac:dyDescent="0.25">
      <c r="A10" s="1" t="s">
        <v>19</v>
      </c>
      <c r="C10" t="s">
        <v>13</v>
      </c>
      <c r="D10" t="s">
        <v>12</v>
      </c>
    </row>
    <row r="11" spans="1:4" x14ac:dyDescent="0.25">
      <c r="A11" s="1" t="s">
        <v>20</v>
      </c>
      <c r="B11" t="s">
        <v>5</v>
      </c>
      <c r="C11" s="1">
        <f>TRUNC(D11/60)+(D11-(TRUNC(D11/60)*60))/100</f>
        <v>5.4699200000000001</v>
      </c>
      <c r="D11" s="2">
        <v>346.99200000000002</v>
      </c>
    </row>
    <row r="12" spans="1:4" x14ac:dyDescent="0.25">
      <c r="B12" t="s">
        <v>6</v>
      </c>
      <c r="C12" s="1">
        <f t="shared" ref="C12:C16" si="0">TRUNC(D12/60)+(D12-(TRUNC(D12/60)*60))/100</f>
        <v>5.5747</v>
      </c>
      <c r="D12" s="2">
        <v>357.47</v>
      </c>
    </row>
    <row r="13" spans="1:4" x14ac:dyDescent="0.25">
      <c r="B13" t="s">
        <v>7</v>
      </c>
      <c r="C13" s="1">
        <f t="shared" si="0"/>
        <v>5.4365300000000003</v>
      </c>
      <c r="D13" s="2">
        <v>343.65300000000002</v>
      </c>
    </row>
    <row r="14" spans="1:4" x14ac:dyDescent="0.25">
      <c r="B14" t="s">
        <v>8</v>
      </c>
      <c r="C14" s="1">
        <f t="shared" si="0"/>
        <v>5.4365300000000003</v>
      </c>
      <c r="D14" s="2">
        <v>343.65300000000002</v>
      </c>
    </row>
    <row r="15" spans="1:4" x14ac:dyDescent="0.25">
      <c r="B15" t="s">
        <v>9</v>
      </c>
      <c r="C15" s="1">
        <f t="shared" si="0"/>
        <v>27.302959999999999</v>
      </c>
      <c r="D15" s="2">
        <v>1650.296</v>
      </c>
    </row>
    <row r="16" spans="1:4" x14ac:dyDescent="0.25">
      <c r="B16" t="s">
        <v>10</v>
      </c>
      <c r="C16" s="1">
        <f t="shared" si="0"/>
        <v>27.021850000000001</v>
      </c>
      <c r="D16" s="2">
        <v>1622.1849999999999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17"/>
  <sheetViews>
    <sheetView zoomScaleNormal="100" workbookViewId="0">
      <selection activeCell="D18" sqref="D18"/>
    </sheetView>
  </sheetViews>
  <sheetFormatPr defaultRowHeight="15" x14ac:dyDescent="0.25"/>
  <cols>
    <col min="1" max="1" width="43" customWidth="1"/>
    <col min="2" max="2" width="25.5703125" customWidth="1"/>
    <col min="3" max="3" width="13.7109375" customWidth="1"/>
  </cols>
  <sheetData>
    <row r="4" spans="1:4" x14ac:dyDescent="0.25">
      <c r="A4" t="s">
        <v>0</v>
      </c>
    </row>
    <row r="5" spans="1:4" x14ac:dyDescent="0.25">
      <c r="A5" t="s">
        <v>1</v>
      </c>
    </row>
    <row r="6" spans="1:4" x14ac:dyDescent="0.25">
      <c r="A6" t="s">
        <v>2</v>
      </c>
    </row>
    <row r="7" spans="1:4" x14ac:dyDescent="0.25">
      <c r="A7" t="s">
        <v>3</v>
      </c>
    </row>
    <row r="8" spans="1:4" x14ac:dyDescent="0.25">
      <c r="A8" t="s">
        <v>4</v>
      </c>
    </row>
    <row r="11" spans="1:4" x14ac:dyDescent="0.25">
      <c r="C11" t="s">
        <v>13</v>
      </c>
      <c r="D11" t="s">
        <v>12</v>
      </c>
    </row>
    <row r="12" spans="1:4" x14ac:dyDescent="0.25">
      <c r="B12" t="s">
        <v>5</v>
      </c>
      <c r="C12" s="1">
        <f>TRUNC(D12/60)+(D12-(TRUNC(D12/60)*60))/100</f>
        <v>24.374870000000001</v>
      </c>
      <c r="D12" s="2">
        <v>1477.4870000000001</v>
      </c>
    </row>
    <row r="13" spans="1:4" x14ac:dyDescent="0.25">
      <c r="B13" t="s">
        <v>6</v>
      </c>
      <c r="C13" s="1">
        <f t="shared" ref="C13:C17" si="0">TRUNC(D13/60)+(D13-(TRUNC(D13/60)*60))/100</f>
        <v>22.3644</v>
      </c>
      <c r="D13" s="2">
        <v>1356.44</v>
      </c>
    </row>
    <row r="14" spans="1:4" x14ac:dyDescent="0.25">
      <c r="B14" t="s">
        <v>7</v>
      </c>
      <c r="C14" s="1">
        <f t="shared" si="0"/>
        <v>21.374880000000001</v>
      </c>
      <c r="D14" s="2">
        <v>1297.4880000000001</v>
      </c>
    </row>
    <row r="15" spans="1:4" x14ac:dyDescent="0.25">
      <c r="B15" t="s">
        <v>8</v>
      </c>
      <c r="C15" s="1">
        <f t="shared" si="0"/>
        <v>23.001639999999998</v>
      </c>
      <c r="D15" s="2">
        <v>1380.164</v>
      </c>
    </row>
    <row r="16" spans="1:4" x14ac:dyDescent="0.25">
      <c r="B16" t="s">
        <v>9</v>
      </c>
      <c r="C16" s="1">
        <f t="shared" si="0"/>
        <v>59.173090000000002</v>
      </c>
      <c r="D16" s="2">
        <v>3557.3090000000002</v>
      </c>
    </row>
    <row r="17" spans="2:4" x14ac:dyDescent="0.25">
      <c r="B17" t="s">
        <v>10</v>
      </c>
      <c r="C17" s="1">
        <f t="shared" si="0"/>
        <v>57.50667</v>
      </c>
      <c r="D17" s="2">
        <v>3470.6669999999999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D17"/>
  <sheetViews>
    <sheetView tabSelected="1" zoomScaleNormal="100" workbookViewId="0">
      <selection activeCell="C25" sqref="C25"/>
    </sheetView>
  </sheetViews>
  <sheetFormatPr defaultRowHeight="15" x14ac:dyDescent="0.25"/>
  <cols>
    <col min="1" max="1" width="43" customWidth="1"/>
    <col min="2" max="2" width="25.5703125" customWidth="1"/>
    <col min="3" max="3" width="13.7109375" customWidth="1"/>
  </cols>
  <sheetData>
    <row r="4" spans="1:4" x14ac:dyDescent="0.25">
      <c r="A4" t="s">
        <v>21</v>
      </c>
    </row>
    <row r="11" spans="1:4" x14ac:dyDescent="0.25">
      <c r="C11" t="s">
        <v>13</v>
      </c>
      <c r="D11" t="s">
        <v>12</v>
      </c>
    </row>
    <row r="12" spans="1:4" x14ac:dyDescent="0.25">
      <c r="B12" t="s">
        <v>5</v>
      </c>
      <c r="C12" s="1">
        <f>TRUNC(D12/60)+(D12-(TRUNC(D12/60)*60))/100</f>
        <v>5.3407</v>
      </c>
      <c r="D12" s="2">
        <v>334.07</v>
      </c>
    </row>
    <row r="13" spans="1:4" x14ac:dyDescent="0.25">
      <c r="B13" t="s">
        <v>6</v>
      </c>
      <c r="C13" s="1">
        <f t="shared" ref="C13:C17" si="0">TRUNC(D13/60)+(D13-(TRUNC(D13/60)*60))/100</f>
        <v>5.1357299999999997</v>
      </c>
      <c r="D13" s="2">
        <v>313.57299999999998</v>
      </c>
    </row>
    <row r="14" spans="1:4" x14ac:dyDescent="0.25">
      <c r="B14" t="s">
        <v>7</v>
      </c>
      <c r="C14" s="1">
        <f t="shared" si="0"/>
        <v>5.11327</v>
      </c>
      <c r="D14" s="2">
        <v>311.327</v>
      </c>
    </row>
    <row r="15" spans="1:4" x14ac:dyDescent="0.25">
      <c r="B15" t="s">
        <v>8</v>
      </c>
      <c r="C15" s="1">
        <f t="shared" si="0"/>
        <v>5.2367600000000003</v>
      </c>
      <c r="D15" s="2">
        <v>323.67599999999999</v>
      </c>
    </row>
    <row r="16" spans="1:4" x14ac:dyDescent="0.25">
      <c r="B16" t="s">
        <v>9</v>
      </c>
      <c r="C16" s="1">
        <f t="shared" si="0"/>
        <v>34.12162</v>
      </c>
      <c r="D16" s="2">
        <v>2052.1619999999998</v>
      </c>
    </row>
    <row r="17" spans="2:4" x14ac:dyDescent="0.25">
      <c r="B17" t="s">
        <v>10</v>
      </c>
      <c r="C17" s="1">
        <f t="shared" si="0"/>
        <v>35.237449999999995</v>
      </c>
      <c r="D17" s="2">
        <v>2123.7449999999999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Lars virtual machine</vt:lpstr>
      <vt:lpstr>UDBL Server1</vt:lpstr>
      <vt:lpstr>Tore's Macbook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2013-04-21T16:36:22Z</dcterms:modified>
</cp:coreProperties>
</file>